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w\Documents\Custom Office Templates\"/>
    </mc:Choice>
  </mc:AlternateContent>
  <bookViews>
    <workbookView xWindow="0" yWindow="0" windowWidth="12315" windowHeight="11250"/>
  </bookViews>
  <sheets>
    <sheet name="Frame_template" sheetId="4" r:id="rId1"/>
    <sheet name="Frame_list" sheetId="5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2" i="5" l="1"/>
  <c r="BD4" i="4" l="1"/>
  <c r="BD12" i="4" l="1"/>
  <c r="BD11" i="4"/>
  <c r="BD10" i="4"/>
  <c r="BD9" i="4"/>
  <c r="BD8" i="4"/>
  <c r="BD7" i="4"/>
  <c r="BD5" i="4"/>
  <c r="AW18" i="4" l="1"/>
  <c r="AV18" i="4"/>
  <c r="AU18" i="4"/>
  <c r="AT18" i="4"/>
  <c r="AS18" i="4"/>
  <c r="AR18" i="4"/>
  <c r="AQ18" i="4"/>
  <c r="AP18" i="4"/>
  <c r="AY18" i="4" s="1"/>
  <c r="AY19" i="4" s="1"/>
  <c r="AO18" i="4"/>
  <c r="AN18" i="4"/>
  <c r="AM18" i="4"/>
  <c r="AL18" i="4"/>
  <c r="AK18" i="4"/>
  <c r="AJ18" i="4"/>
  <c r="AI18" i="4"/>
  <c r="AH18" i="4"/>
  <c r="AZ18" i="4" s="1"/>
  <c r="AZ19" i="4" s="1"/>
  <c r="AG18" i="4"/>
  <c r="BA18" i="4" s="1"/>
  <c r="BA19" i="4" s="1"/>
  <c r="AE18" i="4"/>
  <c r="AC18" i="4"/>
  <c r="AA18" i="4"/>
  <c r="Y18" i="4"/>
  <c r="W18" i="4"/>
  <c r="U18" i="4"/>
  <c r="S18" i="4"/>
  <c r="BB18" i="4" s="1"/>
  <c r="BB19" i="4" s="1"/>
  <c r="BA16" i="4"/>
  <c r="BA17" i="4" s="1"/>
  <c r="AZ16" i="4"/>
  <c r="AZ17" i="4" s="1"/>
  <c r="AW16" i="4"/>
  <c r="AV16" i="4"/>
  <c r="AU16" i="4"/>
  <c r="AT16" i="4"/>
  <c r="AS16" i="4"/>
  <c r="AR16" i="4"/>
  <c r="AQ16" i="4"/>
  <c r="AP16" i="4"/>
  <c r="AY16" i="4" s="1"/>
  <c r="AY17" i="4" s="1"/>
  <c r="AO16" i="4"/>
  <c r="AN16" i="4"/>
  <c r="AM16" i="4"/>
  <c r="AL16" i="4"/>
  <c r="AK16" i="4"/>
  <c r="AJ16" i="4"/>
  <c r="AI16" i="4"/>
  <c r="AH16" i="4"/>
  <c r="AG16" i="4"/>
  <c r="AE16" i="4"/>
  <c r="AC16" i="4"/>
  <c r="AA16" i="4"/>
  <c r="Y16" i="4"/>
  <c r="W16" i="4"/>
  <c r="U16" i="4"/>
  <c r="BB16" i="4" s="1"/>
  <c r="BB17" i="4" s="1"/>
  <c r="S16" i="4"/>
  <c r="AW14" i="4"/>
  <c r="AV14" i="4"/>
  <c r="AU14" i="4"/>
  <c r="AT14" i="4"/>
  <c r="AS14" i="4"/>
  <c r="AR14" i="4"/>
  <c r="AQ14" i="4"/>
  <c r="AP14" i="4"/>
  <c r="AY14" i="4" s="1"/>
  <c r="AY15" i="4" s="1"/>
  <c r="AO14" i="4"/>
  <c r="AN14" i="4"/>
  <c r="AM14" i="4"/>
  <c r="AL14" i="4"/>
  <c r="AK14" i="4"/>
  <c r="AJ14" i="4"/>
  <c r="AI14" i="4"/>
  <c r="AZ14" i="4" s="1"/>
  <c r="AZ15" i="4" s="1"/>
  <c r="AH14" i="4"/>
  <c r="AG14" i="4"/>
  <c r="BA14" i="4" s="1"/>
  <c r="BA15" i="4" s="1"/>
  <c r="AE14" i="4"/>
  <c r="AC14" i="4"/>
  <c r="AA14" i="4"/>
  <c r="Y14" i="4"/>
  <c r="W14" i="4"/>
  <c r="U14" i="4"/>
  <c r="BB14" i="4" s="1"/>
  <c r="BB15" i="4" s="1"/>
  <c r="S14" i="4"/>
  <c r="AW12" i="4"/>
  <c r="AY12" i="4" s="1"/>
  <c r="AY13" i="4" s="1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Z12" i="4" s="1"/>
  <c r="AZ13" i="4" s="1"/>
  <c r="AG12" i="4"/>
  <c r="BA12" i="4" s="1"/>
  <c r="BA13" i="4" s="1"/>
  <c r="AE12" i="4"/>
  <c r="AC12" i="4"/>
  <c r="AA12" i="4"/>
  <c r="Y12" i="4"/>
  <c r="W12" i="4"/>
  <c r="U12" i="4"/>
  <c r="S12" i="4"/>
  <c r="BB12" i="4" s="1"/>
  <c r="BB13" i="4" s="1"/>
  <c r="AW10" i="4"/>
  <c r="AV10" i="4"/>
  <c r="AU10" i="4"/>
  <c r="AT10" i="4"/>
  <c r="AS10" i="4"/>
  <c r="AR10" i="4"/>
  <c r="AQ10" i="4"/>
  <c r="AP10" i="4"/>
  <c r="AY10" i="4" s="1"/>
  <c r="AY11" i="4" s="1"/>
  <c r="AO10" i="4"/>
  <c r="AN10" i="4"/>
  <c r="AM10" i="4"/>
  <c r="AL10" i="4"/>
  <c r="AK10" i="4"/>
  <c r="AJ10" i="4"/>
  <c r="AI10" i="4"/>
  <c r="AH10" i="4"/>
  <c r="AZ10" i="4" s="1"/>
  <c r="AZ11" i="4" s="1"/>
  <c r="AG10" i="4"/>
  <c r="AE10" i="4"/>
  <c r="BA10" i="4" s="1"/>
  <c r="BA11" i="4" s="1"/>
  <c r="AC10" i="4"/>
  <c r="AA10" i="4"/>
  <c r="Y10" i="4"/>
  <c r="W10" i="4"/>
  <c r="BB10" i="4" s="1"/>
  <c r="BB11" i="4" s="1"/>
  <c r="U10" i="4"/>
  <c r="S10" i="4"/>
  <c r="AW8" i="4"/>
  <c r="AV8" i="4"/>
  <c r="AU8" i="4"/>
  <c r="AT8" i="4"/>
  <c r="AS8" i="4"/>
  <c r="AR8" i="4"/>
  <c r="AQ8" i="4"/>
  <c r="AP8" i="4"/>
  <c r="AY8" i="4" s="1"/>
  <c r="AY9" i="4" s="1"/>
  <c r="AO8" i="4"/>
  <c r="AN8" i="4"/>
  <c r="AM8" i="4"/>
  <c r="AL8" i="4"/>
  <c r="AK8" i="4"/>
  <c r="AJ8" i="4"/>
  <c r="AI8" i="4"/>
  <c r="AH8" i="4"/>
  <c r="AZ8" i="4" s="1"/>
  <c r="AZ9" i="4" s="1"/>
  <c r="AG8" i="4"/>
  <c r="BA8" i="4" s="1"/>
  <c r="BA9" i="4" s="1"/>
  <c r="AE8" i="4"/>
  <c r="AC8" i="4"/>
  <c r="AA8" i="4"/>
  <c r="Y8" i="4"/>
  <c r="W8" i="4"/>
  <c r="U8" i="4"/>
  <c r="S8" i="4"/>
  <c r="BB8" i="4" s="1"/>
  <c r="BB9" i="4" s="1"/>
  <c r="BB6" i="4"/>
  <c r="BB7" i="4" s="1"/>
  <c r="BD6" i="4" s="1"/>
  <c r="AW6" i="4"/>
  <c r="AV6" i="4"/>
  <c r="AU6" i="4"/>
  <c r="AT6" i="4"/>
  <c r="AS6" i="4"/>
  <c r="AR6" i="4"/>
  <c r="AQ6" i="4"/>
  <c r="AP6" i="4"/>
  <c r="AY6" i="4" s="1"/>
  <c r="AY7" i="4" s="1"/>
  <c r="AO6" i="4"/>
  <c r="AN6" i="4"/>
  <c r="AM6" i="4"/>
  <c r="AL6" i="4"/>
  <c r="AK6" i="4"/>
  <c r="AJ6" i="4"/>
  <c r="AI6" i="4"/>
  <c r="AH6" i="4"/>
  <c r="AZ6" i="4" s="1"/>
  <c r="AZ7" i="4" s="1"/>
  <c r="AG6" i="4"/>
  <c r="AE6" i="4"/>
  <c r="AC6" i="4"/>
  <c r="AA6" i="4"/>
  <c r="BA6" i="4" s="1"/>
  <c r="BA7" i="4" s="1"/>
  <c r="Y6" i="4"/>
  <c r="W6" i="4"/>
  <c r="U6" i="4"/>
  <c r="S6" i="4"/>
  <c r="AG4" i="4"/>
  <c r="AE4" i="4"/>
  <c r="AC4" i="4"/>
  <c r="AA4" i="4"/>
  <c r="Y4" i="4"/>
  <c r="W4" i="4"/>
  <c r="U4" i="4"/>
  <c r="S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Z4" i="4" l="1"/>
  <c r="AZ5" i="4" s="1"/>
  <c r="AY4" i="4"/>
  <c r="AY5" i="4" s="1"/>
  <c r="BB4" i="4"/>
  <c r="BB5" i="4" s="1"/>
  <c r="BA4" i="4"/>
  <c r="BA5" i="4" s="1"/>
</calcChain>
</file>

<file path=xl/sharedStrings.xml><?xml version="1.0" encoding="utf-8"?>
<sst xmlns="http://schemas.openxmlformats.org/spreadsheetml/2006/main" count="74" uniqueCount="57">
  <si>
    <t>A/B</t>
  </si>
  <si>
    <t>C/D</t>
  </si>
  <si>
    <t>E/F</t>
  </si>
  <si>
    <t>G/H</t>
  </si>
  <si>
    <t>I/J</t>
  </si>
  <si>
    <t>K/L</t>
  </si>
  <si>
    <t>M/N</t>
  </si>
  <si>
    <t>O/P</t>
  </si>
  <si>
    <t>U54-OUT8</t>
  </si>
  <si>
    <t>U54-OUT7</t>
  </si>
  <si>
    <t>U54-OUT6</t>
  </si>
  <si>
    <t>U54-OUT5</t>
  </si>
  <si>
    <t>U54-OUT4</t>
  </si>
  <si>
    <t>U54-OUT3</t>
  </si>
  <si>
    <t>U54-OUT2</t>
  </si>
  <si>
    <t>U54-OUT1</t>
  </si>
  <si>
    <t>U80-OUT5</t>
  </si>
  <si>
    <t>U82-OUT4</t>
  </si>
  <si>
    <t>U82-OUT6</t>
  </si>
  <si>
    <t>U62-OUT6</t>
  </si>
  <si>
    <t>U80-OUT7</t>
  </si>
  <si>
    <t>U62-OUT4</t>
  </si>
  <si>
    <t>U82-OUT8</t>
  </si>
  <si>
    <t>U62-OUT8</t>
  </si>
  <si>
    <t>U81-OUT1</t>
  </si>
  <si>
    <t>U62-OUT2</t>
  </si>
  <si>
    <t>U82-OUT2</t>
  </si>
  <si>
    <t>U83-OUT2</t>
  </si>
  <si>
    <t>U63-OUT2</t>
  </si>
  <si>
    <t>U81-OUT3</t>
  </si>
  <si>
    <t>U80-OUT3</t>
  </si>
  <si>
    <t>U83-OUT4</t>
  </si>
  <si>
    <t>U63-OUT4</t>
  </si>
  <si>
    <t>U81-OUT5</t>
  </si>
  <si>
    <t>U83-OUT6</t>
  </si>
  <si>
    <t>U63-OUT6</t>
  </si>
  <si>
    <t>U81-OUT7</t>
  </si>
  <si>
    <t>U80-OUT1</t>
  </si>
  <si>
    <t>U83-OUT8</t>
  </si>
  <si>
    <t>U63-OUT8</t>
  </si>
  <si>
    <t>byte 0</t>
  </si>
  <si>
    <t>byte 3</t>
  </si>
  <si>
    <t>byte 2</t>
  </si>
  <si>
    <t>byte 1</t>
  </si>
  <si>
    <t>byte</t>
  </si>
  <si>
    <t>bit</t>
  </si>
  <si>
    <t>},</t>
  </si>
  <si>
    <t>Frame number:</t>
  </si>
  <si>
    <t>Frame comment:</t>
  </si>
  <si>
    <t>Code:</t>
  </si>
  <si>
    <t>Frame Names</t>
  </si>
  <si>
    <t>Frame Number</t>
  </si>
  <si>
    <t>Number of frames</t>
  </si>
  <si>
    <t>Animation comment</t>
  </si>
  <si>
    <t>Sheets Index</t>
  </si>
  <si>
    <t>Num rows</t>
  </si>
  <si>
    <t>Num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</si>
</sst>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22</xdr:row>
          <xdr:rowOff>152400</xdr:rowOff>
        </xdr:from>
        <xdr:to>
          <xdr:col>1</xdr:col>
          <xdr:colOff>523875</xdr:colOff>
          <xdr:row>24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180975</xdr:rowOff>
        </xdr:from>
        <xdr:to>
          <xdr:col>1</xdr:col>
          <xdr:colOff>552450</xdr:colOff>
          <xdr:row>26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22</xdr:row>
          <xdr:rowOff>171450</xdr:rowOff>
        </xdr:from>
        <xdr:to>
          <xdr:col>10</xdr:col>
          <xdr:colOff>85725</xdr:colOff>
          <xdr:row>24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142875</xdr:colOff>
          <xdr:row>14</xdr:row>
          <xdr:rowOff>9525</xdr:rowOff>
        </xdr:from>
        <xdr:to>
          <xdr:col>55</xdr:col>
          <xdr:colOff>1447800</xdr:colOff>
          <xdr:row>15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20</xdr:row>
          <xdr:rowOff>123825</xdr:rowOff>
        </xdr:from>
        <xdr:to>
          <xdr:col>10</xdr:col>
          <xdr:colOff>142875</xdr:colOff>
          <xdr:row>22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7</xdr:row>
          <xdr:rowOff>0</xdr:rowOff>
        </xdr:from>
        <xdr:to>
          <xdr:col>1</xdr:col>
          <xdr:colOff>409575</xdr:colOff>
          <xdr:row>8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Gather frames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25"/>
  <sheetViews>
    <sheetView tabSelected="1" workbookViewId="0">
      <selection activeCell="C4" sqref="C4"/>
    </sheetView>
  </sheetViews>
  <sheetFormatPr defaultRowHeight="15" x14ac:dyDescent="0.25"/>
  <cols>
    <col min="3" max="14" width="2.7109375" customWidth="1"/>
    <col min="17" max="17" width="0" hidden="1" customWidth="1"/>
    <col min="18" max="49" width="3.7109375" hidden="1" customWidth="1"/>
    <col min="50" max="50" width="3.85546875" customWidth="1"/>
    <col min="51" max="54" width="6.42578125" bestFit="1" customWidth="1"/>
    <col min="55" max="55" width="4.7109375" customWidth="1"/>
    <col min="56" max="56" width="40.28515625" customWidth="1"/>
  </cols>
  <sheetData>
    <row r="1" spans="1:57" x14ac:dyDescent="0.25">
      <c r="B1" s="5"/>
      <c r="C1" s="4" t="s">
        <v>16</v>
      </c>
      <c r="D1" s="4" t="s">
        <v>18</v>
      </c>
      <c r="E1" t="s">
        <v>20</v>
      </c>
      <c r="F1" t="s">
        <v>22</v>
      </c>
      <c r="G1" t="s">
        <v>24</v>
      </c>
      <c r="H1" t="s">
        <v>27</v>
      </c>
      <c r="I1" t="s">
        <v>29</v>
      </c>
      <c r="J1" t="s">
        <v>31</v>
      </c>
      <c r="K1" t="s">
        <v>33</v>
      </c>
      <c r="L1" t="s">
        <v>34</v>
      </c>
      <c r="M1" t="s">
        <v>36</v>
      </c>
      <c r="N1" t="s">
        <v>38</v>
      </c>
      <c r="BD1" s="5" t="s">
        <v>48</v>
      </c>
    </row>
    <row r="2" spans="1:57" x14ac:dyDescent="0.25">
      <c r="B2" s="5"/>
      <c r="C2" s="4" t="s">
        <v>17</v>
      </c>
      <c r="D2" s="4" t="s">
        <v>19</v>
      </c>
      <c r="E2" t="s">
        <v>21</v>
      </c>
      <c r="F2" t="s">
        <v>23</v>
      </c>
      <c r="G2" t="s">
        <v>25</v>
      </c>
      <c r="H2" t="s">
        <v>28</v>
      </c>
      <c r="I2" t="s">
        <v>30</v>
      </c>
      <c r="J2" t="s">
        <v>32</v>
      </c>
      <c r="K2" t="s">
        <v>26</v>
      </c>
      <c r="L2" t="s">
        <v>35</v>
      </c>
      <c r="M2" t="s">
        <v>37</v>
      </c>
      <c r="N2" t="s">
        <v>39</v>
      </c>
      <c r="Q2" t="s">
        <v>44</v>
      </c>
      <c r="R2">
        <v>3</v>
      </c>
      <c r="Z2" s="7">
        <v>2</v>
      </c>
      <c r="AA2" s="7"/>
      <c r="AB2" s="7"/>
      <c r="AC2" s="7"/>
      <c r="AD2" s="7"/>
      <c r="AE2" s="7"/>
      <c r="AF2" s="7"/>
      <c r="AG2" s="7"/>
      <c r="AH2">
        <v>1</v>
      </c>
      <c r="AP2" s="7">
        <v>0</v>
      </c>
      <c r="AQ2" s="7"/>
      <c r="AR2" s="7"/>
      <c r="AS2" s="7"/>
      <c r="AT2" s="7"/>
      <c r="AU2" s="7"/>
      <c r="AV2" s="7"/>
      <c r="AW2" s="7"/>
      <c r="BD2" s="5" t="s">
        <v>47</v>
      </c>
      <c r="BE2">
        <v>1</v>
      </c>
    </row>
    <row r="3" spans="1:57" x14ac:dyDescent="0.25">
      <c r="B3" s="5"/>
      <c r="C3" s="2">
        <v>12</v>
      </c>
      <c r="D3" s="2">
        <v>11</v>
      </c>
      <c r="E3" s="2">
        <v>10</v>
      </c>
      <c r="F3" s="2">
        <v>9</v>
      </c>
      <c r="G3" s="2">
        <v>8</v>
      </c>
      <c r="H3" s="2">
        <v>7</v>
      </c>
      <c r="I3" s="2">
        <v>6</v>
      </c>
      <c r="J3" s="2">
        <v>5</v>
      </c>
      <c r="K3" s="2">
        <v>4</v>
      </c>
      <c r="L3" s="2">
        <v>3</v>
      </c>
      <c r="M3" s="2">
        <v>2</v>
      </c>
      <c r="N3" s="2">
        <v>1</v>
      </c>
      <c r="Q3" t="s">
        <v>45</v>
      </c>
      <c r="R3">
        <v>7</v>
      </c>
      <c r="S3">
        <v>6</v>
      </c>
      <c r="T3">
        <v>5</v>
      </c>
      <c r="U3">
        <v>4</v>
      </c>
      <c r="V3">
        <v>3</v>
      </c>
      <c r="W3">
        <v>2</v>
      </c>
      <c r="X3">
        <v>1</v>
      </c>
      <c r="Y3">
        <v>0</v>
      </c>
      <c r="Z3">
        <v>7</v>
      </c>
      <c r="AA3">
        <v>6</v>
      </c>
      <c r="AB3">
        <v>5</v>
      </c>
      <c r="AC3">
        <v>4</v>
      </c>
      <c r="AD3">
        <v>3</v>
      </c>
      <c r="AE3">
        <v>2</v>
      </c>
      <c r="AF3">
        <v>1</v>
      </c>
      <c r="AG3">
        <v>0</v>
      </c>
      <c r="AH3">
        <v>7</v>
      </c>
      <c r="AI3">
        <v>6</v>
      </c>
      <c r="AJ3">
        <v>5</v>
      </c>
      <c r="AK3">
        <v>4</v>
      </c>
      <c r="AL3">
        <v>3</v>
      </c>
      <c r="AM3">
        <v>2</v>
      </c>
      <c r="AN3">
        <v>1</v>
      </c>
      <c r="AO3">
        <v>0</v>
      </c>
      <c r="AP3">
        <v>7</v>
      </c>
      <c r="AQ3">
        <v>6</v>
      </c>
      <c r="AR3">
        <v>5</v>
      </c>
      <c r="AS3">
        <v>4</v>
      </c>
      <c r="AT3">
        <v>3</v>
      </c>
      <c r="AU3">
        <v>2</v>
      </c>
      <c r="AV3">
        <v>1</v>
      </c>
      <c r="AW3">
        <v>0</v>
      </c>
      <c r="AY3" t="s">
        <v>40</v>
      </c>
      <c r="AZ3" t="s">
        <v>43</v>
      </c>
      <c r="BA3" t="s">
        <v>42</v>
      </c>
      <c r="BB3" t="s">
        <v>41</v>
      </c>
      <c r="BD3" t="s">
        <v>49</v>
      </c>
    </row>
    <row r="4" spans="1:57" x14ac:dyDescent="0.25">
      <c r="A4" s="1" t="s">
        <v>8</v>
      </c>
      <c r="B4" s="6" t="s">
        <v>0</v>
      </c>
      <c r="C4" s="8"/>
      <c r="D4" s="8"/>
      <c r="E4" s="8"/>
      <c r="F4" s="8"/>
      <c r="G4" s="8"/>
      <c r="H4" s="11"/>
      <c r="I4" s="12"/>
      <c r="J4" s="8"/>
      <c r="K4" s="8"/>
      <c r="L4" s="8"/>
      <c r="M4" s="8"/>
      <c r="N4" s="8"/>
      <c r="O4" s="1" t="s">
        <v>0</v>
      </c>
      <c r="P4" s="1" t="s">
        <v>8</v>
      </c>
      <c r="R4">
        <v>0</v>
      </c>
      <c r="S4">
        <f>IF(G5="X",2^6,0)</f>
        <v>0</v>
      </c>
      <c r="T4">
        <v>0</v>
      </c>
      <c r="U4">
        <f>IF(E5="X",2^4,0)</f>
        <v>0</v>
      </c>
      <c r="V4">
        <v>0</v>
      </c>
      <c r="W4">
        <f>IF(D5="X",2^2,0)</f>
        <v>0</v>
      </c>
      <c r="X4">
        <v>0</v>
      </c>
      <c r="Y4">
        <f>IF(F5="X",2^0,0)</f>
        <v>0</v>
      </c>
      <c r="Z4">
        <v>0</v>
      </c>
      <c r="AA4">
        <f>IF(H5="X",2^6,0)</f>
        <v>0</v>
      </c>
      <c r="AB4">
        <v>0</v>
      </c>
      <c r="AC4">
        <f>IF(J5="X",2^4,0)</f>
        <v>0</v>
      </c>
      <c r="AD4">
        <v>0</v>
      </c>
      <c r="AE4">
        <f>IF(L5="X",2^2,0)</f>
        <v>0</v>
      </c>
      <c r="AF4">
        <v>0</v>
      </c>
      <c r="AG4">
        <f>IF(N5="X",2^0,0)</f>
        <v>0</v>
      </c>
      <c r="AH4">
        <f>IF(M5="X",2^7, 0)</f>
        <v>0</v>
      </c>
      <c r="AI4">
        <f>IF(K5="X", 2^6, 0)</f>
        <v>0</v>
      </c>
      <c r="AJ4">
        <f>IF(I5="X", 2^5, 0)</f>
        <v>0</v>
      </c>
      <c r="AK4">
        <f>IF(C5="X", 2^4, 0)</f>
        <v>0</v>
      </c>
      <c r="AL4">
        <f>IF(C4="X", 2^3, 0)</f>
        <v>0</v>
      </c>
      <c r="AM4">
        <f>IF(D4="X", 2^2, 0)</f>
        <v>0</v>
      </c>
      <c r="AN4">
        <f>IF(E4="X", 2^1, 0)</f>
        <v>0</v>
      </c>
      <c r="AO4">
        <f>IF(F4="X", 2^0, 0)</f>
        <v>0</v>
      </c>
      <c r="AP4">
        <f>IF(G4="X", 2^7, 0)</f>
        <v>0</v>
      </c>
      <c r="AQ4">
        <f>IF(H4="X", 2^6, 0)</f>
        <v>0</v>
      </c>
      <c r="AR4">
        <f>IF(I4="X", 2^5, 0)</f>
        <v>0</v>
      </c>
      <c r="AS4">
        <f>IF(J4="X", 2^4, 0)</f>
        <v>0</v>
      </c>
      <c r="AT4">
        <f>IF(K4="X", 2^3, 0)</f>
        <v>0</v>
      </c>
      <c r="AU4">
        <f>IF(L4="X", 2^2, 0)</f>
        <v>0</v>
      </c>
      <c r="AV4">
        <f>IF(M4="X", 2^1, 0)</f>
        <v>0</v>
      </c>
      <c r="AW4">
        <f>IF(N4="X", 2^0, 0)</f>
        <v>0</v>
      </c>
      <c r="AY4">
        <f>SUM(AP4:AW4)</f>
        <v>0</v>
      </c>
      <c r="AZ4">
        <f>SUM(AH4:AO4)</f>
        <v>0</v>
      </c>
      <c r="BA4">
        <f>SUM(Z4:AG4)</f>
        <v>0</v>
      </c>
      <c r="BB4">
        <f>SUM(R4:Y4)</f>
        <v>0</v>
      </c>
      <c r="BD4" t="str">
        <f>CONCATENATE("{ /////////////// FRAME ",  IF(BE2&lt;&gt;"", BE2,"blah")," /////", IF(BE1&lt;&gt;"", BE1,""),"///////////")</f>
        <v>{ /////////////// FRAME 1 ////////////////</v>
      </c>
    </row>
    <row r="5" spans="1:57" x14ac:dyDescent="0.25">
      <c r="A5" s="1"/>
      <c r="B5" s="6"/>
      <c r="C5" s="8"/>
      <c r="D5" s="8"/>
      <c r="E5" s="8"/>
      <c r="F5" s="8"/>
      <c r="G5" s="8"/>
      <c r="H5" s="11"/>
      <c r="I5" s="12"/>
      <c r="J5" s="8"/>
      <c r="K5" s="8"/>
      <c r="L5" s="8"/>
      <c r="M5" s="8"/>
      <c r="N5" s="8"/>
      <c r="O5" s="1"/>
      <c r="P5" s="1"/>
      <c r="AY5" t="str">
        <f>"0x"&amp;TEXT(DEC2HEX(AY4),"00")</f>
        <v>0x00</v>
      </c>
      <c r="AZ5" t="str">
        <f>"0x"&amp;TEXT(DEC2HEX(AZ4),"00")</f>
        <v>0x00</v>
      </c>
      <c r="BA5" t="str">
        <f>"0x"&amp;TEXT(DEC2HEX(BA4),"00")</f>
        <v>0x00</v>
      </c>
      <c r="BB5" t="str">
        <f>"0x"&amp;TEXT(DEC2HEX(BB4),"00")</f>
        <v>0x00</v>
      </c>
      <c r="BD5" t="str">
        <f>CONCATENATE("{", AY5, ",", AZ5, ",", BA5, ",", BB5, "},")</f>
        <v>{0x00,0x00,0x00,0x00},</v>
      </c>
    </row>
    <row r="6" spans="1:57" x14ac:dyDescent="0.25">
      <c r="A6" t="s">
        <v>9</v>
      </c>
      <c r="B6" s="5" t="s">
        <v>1</v>
      </c>
      <c r="C6" s="9"/>
      <c r="D6" s="9"/>
      <c r="E6" s="10"/>
      <c r="F6" s="10"/>
      <c r="G6" s="10"/>
      <c r="H6" s="13"/>
      <c r="I6" s="14"/>
      <c r="J6" s="10"/>
      <c r="K6" s="10"/>
      <c r="L6" s="10"/>
      <c r="M6" s="10"/>
      <c r="N6" s="10"/>
      <c r="O6" t="s">
        <v>1</v>
      </c>
      <c r="P6" t="s">
        <v>9</v>
      </c>
      <c r="R6">
        <v>0</v>
      </c>
      <c r="S6">
        <f>IF(G7="X",2^6,0)</f>
        <v>0</v>
      </c>
      <c r="T6">
        <v>0</v>
      </c>
      <c r="U6">
        <f>IF(E7="X",2^4,0)</f>
        <v>0</v>
      </c>
      <c r="V6">
        <v>0</v>
      </c>
      <c r="W6">
        <f>IF(D7="X",2^2,0)</f>
        <v>0</v>
      </c>
      <c r="X6">
        <v>0</v>
      </c>
      <c r="Y6">
        <f>IF(F7="X",2^0,0)</f>
        <v>0</v>
      </c>
      <c r="Z6">
        <v>0</v>
      </c>
      <c r="AA6">
        <f>IF(H7="X",2^6,0)</f>
        <v>0</v>
      </c>
      <c r="AB6">
        <v>0</v>
      </c>
      <c r="AC6">
        <f>IF(J7="X",2^4,0)</f>
        <v>0</v>
      </c>
      <c r="AD6">
        <v>0</v>
      </c>
      <c r="AE6">
        <f>IF(L7="X",2^2,0)</f>
        <v>0</v>
      </c>
      <c r="AF6">
        <v>0</v>
      </c>
      <c r="AG6">
        <f>IF(N7="X",2^0,0)</f>
        <v>0</v>
      </c>
      <c r="AH6">
        <f>IF(M7="X",2^7, 0)</f>
        <v>0</v>
      </c>
      <c r="AI6">
        <f>IF(K7="X", 2^6, 0)</f>
        <v>0</v>
      </c>
      <c r="AJ6">
        <f>IF(I7="X", 2^5, 0)</f>
        <v>0</v>
      </c>
      <c r="AK6">
        <f>IF(C7="X", 2^4, 0)</f>
        <v>0</v>
      </c>
      <c r="AL6">
        <f>IF(C6="X", 2^3, 0)</f>
        <v>0</v>
      </c>
      <c r="AM6">
        <f>IF(D6="X", 2^2, 0)</f>
        <v>0</v>
      </c>
      <c r="AN6">
        <f>IF(E6="X", 2^1, 0)</f>
        <v>0</v>
      </c>
      <c r="AO6">
        <f>IF(F6="X", 2^0, 0)</f>
        <v>0</v>
      </c>
      <c r="AP6">
        <f>IF(G6="X", 2^7, 0)</f>
        <v>0</v>
      </c>
      <c r="AQ6">
        <f>IF(H6="X", 2^6, 0)</f>
        <v>0</v>
      </c>
      <c r="AR6">
        <f>IF(I6="X", 2^5, 0)</f>
        <v>0</v>
      </c>
      <c r="AS6">
        <f>IF(J6="X", 2^4, 0)</f>
        <v>0</v>
      </c>
      <c r="AT6">
        <f>IF(K6="X", 2^3, 0)</f>
        <v>0</v>
      </c>
      <c r="AU6">
        <f>IF(L6="X", 2^2, 0)</f>
        <v>0</v>
      </c>
      <c r="AV6">
        <f>IF(M6="X", 2^1, 0)</f>
        <v>0</v>
      </c>
      <c r="AW6">
        <f>IF(N6="X", 2^0, 0)</f>
        <v>0</v>
      </c>
      <c r="AY6">
        <f>SUM(AP6:AW6)</f>
        <v>0</v>
      </c>
      <c r="AZ6">
        <f>SUM(AH6:AO6)</f>
        <v>0</v>
      </c>
      <c r="BA6">
        <f>SUM(Z6:AG6)</f>
        <v>0</v>
      </c>
      <c r="BB6">
        <f>SUM(R6:Y6)</f>
        <v>0</v>
      </c>
      <c r="BD6" t="str">
        <f>CONCATENATE("{", AY7, ",", AZ7, ",", BA7, ",", BB7, "},")</f>
        <v>{0x00,0x00,0x00,0x00},</v>
      </c>
    </row>
    <row r="7" spans="1:57" x14ac:dyDescent="0.25">
      <c r="B7" s="5"/>
      <c r="C7" s="9"/>
      <c r="D7" s="9"/>
      <c r="E7" s="10"/>
      <c r="F7" s="10"/>
      <c r="G7" s="10"/>
      <c r="H7" s="13"/>
      <c r="I7" s="14"/>
      <c r="J7" s="10"/>
      <c r="K7" s="10"/>
      <c r="L7" s="10"/>
      <c r="M7" s="10"/>
      <c r="N7" s="10"/>
      <c r="AY7" t="str">
        <f>"0x"&amp;TEXT(DEC2HEX(AY6),"00")</f>
        <v>0x00</v>
      </c>
      <c r="AZ7" t="str">
        <f>"0x"&amp;TEXT(DEC2HEX(AZ6),"00")</f>
        <v>0x00</v>
      </c>
      <c r="BA7" t="str">
        <f>"0x"&amp;TEXT(DEC2HEX(BA6),"00")</f>
        <v>0x00</v>
      </c>
      <c r="BB7" t="str">
        <f>"0x"&amp;TEXT(DEC2HEX(BB6),"00")</f>
        <v>0x00</v>
      </c>
      <c r="BD7" t="str">
        <f>CONCATENATE("{", AY9, ",", AZ9, ",", BA9, ",", BB9, "},")</f>
        <v>{0x00,0x00,0x00,0x00},</v>
      </c>
    </row>
    <row r="8" spans="1:57" x14ac:dyDescent="0.25">
      <c r="A8" s="1" t="s">
        <v>10</v>
      </c>
      <c r="B8" s="6" t="s">
        <v>2</v>
      </c>
      <c r="C8" s="8"/>
      <c r="D8" s="8"/>
      <c r="E8" s="8"/>
      <c r="F8" s="8"/>
      <c r="G8" s="8"/>
      <c r="H8" s="11"/>
      <c r="I8" s="12"/>
      <c r="J8" s="8"/>
      <c r="K8" s="8"/>
      <c r="L8" s="8"/>
      <c r="M8" s="8"/>
      <c r="N8" s="8"/>
      <c r="O8" s="1" t="s">
        <v>2</v>
      </c>
      <c r="P8" s="1" t="s">
        <v>10</v>
      </c>
      <c r="R8">
        <v>0</v>
      </c>
      <c r="S8">
        <f>IF(G9="X",2^6,0)</f>
        <v>0</v>
      </c>
      <c r="T8">
        <v>0</v>
      </c>
      <c r="U8">
        <f>IF(E9="X",2^4,0)</f>
        <v>0</v>
      </c>
      <c r="V8">
        <v>0</v>
      </c>
      <c r="W8">
        <f>IF(D9="X",2^2,0)</f>
        <v>0</v>
      </c>
      <c r="X8">
        <v>0</v>
      </c>
      <c r="Y8">
        <f>IF(F9="X",2^0,0)</f>
        <v>0</v>
      </c>
      <c r="Z8">
        <v>0</v>
      </c>
      <c r="AA8">
        <f>IF(H9="X",2^6,0)</f>
        <v>0</v>
      </c>
      <c r="AB8">
        <v>0</v>
      </c>
      <c r="AC8">
        <f>IF(J9="X",2^4,0)</f>
        <v>0</v>
      </c>
      <c r="AD8">
        <v>0</v>
      </c>
      <c r="AE8">
        <f>IF(L9="X",2^2,0)</f>
        <v>0</v>
      </c>
      <c r="AF8">
        <v>0</v>
      </c>
      <c r="AG8">
        <f>IF(N9="X",2^0,0)</f>
        <v>0</v>
      </c>
      <c r="AH8">
        <f>IF(M9="X",2^7, 0)</f>
        <v>0</v>
      </c>
      <c r="AI8">
        <f>IF(K9="X", 2^6, 0)</f>
        <v>0</v>
      </c>
      <c r="AJ8">
        <f>IF(I9="X", 2^5, 0)</f>
        <v>0</v>
      </c>
      <c r="AK8">
        <f>IF(C9="X", 2^4, 0)</f>
        <v>0</v>
      </c>
      <c r="AL8">
        <f>IF(C8="X", 2^3, 0)</f>
        <v>0</v>
      </c>
      <c r="AM8">
        <f>IF(D8="X", 2^2, 0)</f>
        <v>0</v>
      </c>
      <c r="AN8">
        <f>IF(E8="X", 2^1, 0)</f>
        <v>0</v>
      </c>
      <c r="AO8">
        <f>IF(F8="X", 2^0, 0)</f>
        <v>0</v>
      </c>
      <c r="AP8">
        <f>IF(G8="X", 2^7, 0)</f>
        <v>0</v>
      </c>
      <c r="AQ8">
        <f>IF(H8="X", 2^6, 0)</f>
        <v>0</v>
      </c>
      <c r="AR8">
        <f>IF(I8="X", 2^5, 0)</f>
        <v>0</v>
      </c>
      <c r="AS8">
        <f>IF(J8="X", 2^4, 0)</f>
        <v>0</v>
      </c>
      <c r="AT8">
        <f>IF(K8="X", 2^3, 0)</f>
        <v>0</v>
      </c>
      <c r="AU8">
        <f>IF(L8="X", 2^2, 0)</f>
        <v>0</v>
      </c>
      <c r="AV8">
        <f>IF(M8="X", 2^1, 0)</f>
        <v>0</v>
      </c>
      <c r="AW8">
        <f>IF(N8="X", 2^0, 0)</f>
        <v>0</v>
      </c>
      <c r="AY8">
        <f>SUM(AP8:AW8)</f>
        <v>0</v>
      </c>
      <c r="AZ8">
        <f>SUM(AH8:AO8)</f>
        <v>0</v>
      </c>
      <c r="BA8">
        <f>SUM(Z8:AG8)</f>
        <v>0</v>
      </c>
      <c r="BB8">
        <f>SUM(R8:Y8)</f>
        <v>0</v>
      </c>
      <c r="BD8" t="str">
        <f>CONCATENATE("{", AY11, ",", AZ11, ",", BA11, ",", BB11, "},")</f>
        <v>{0x00,0x00,0x00,0x00},</v>
      </c>
    </row>
    <row r="9" spans="1:57" x14ac:dyDescent="0.25">
      <c r="A9" s="1"/>
      <c r="B9" s="6"/>
      <c r="C9" s="8"/>
      <c r="D9" s="8"/>
      <c r="E9" s="8"/>
      <c r="F9" s="8"/>
      <c r="G9" s="8"/>
      <c r="H9" s="11"/>
      <c r="I9" s="12"/>
      <c r="J9" s="8"/>
      <c r="K9" s="8"/>
      <c r="L9" s="8"/>
      <c r="M9" s="8"/>
      <c r="N9" s="8"/>
      <c r="O9" s="1"/>
      <c r="P9" s="1"/>
      <c r="AY9" t="str">
        <f>"0x"&amp;TEXT(DEC2HEX(AY8),"00")</f>
        <v>0x00</v>
      </c>
      <c r="AZ9" t="str">
        <f>"0x"&amp;TEXT(DEC2HEX(AZ8),"00")</f>
        <v>0x00</v>
      </c>
      <c r="BA9" t="str">
        <f>"0x"&amp;TEXT(DEC2HEX(BA8),"00")</f>
        <v>0x00</v>
      </c>
      <c r="BB9" t="str">
        <f>"0x"&amp;TEXT(DEC2HEX(BB8),"00")</f>
        <v>0x00</v>
      </c>
      <c r="BD9" t="str">
        <f>CONCATENATE("{", AY13, ",", AZ13, ",", BA13, ",", BB13, "},")</f>
        <v>{0x00,0x00,0x00,0x00},</v>
      </c>
    </row>
    <row r="10" spans="1:57" x14ac:dyDescent="0.25">
      <c r="A10" t="s">
        <v>11</v>
      </c>
      <c r="B10" s="5" t="s">
        <v>3</v>
      </c>
      <c r="C10" s="9"/>
      <c r="D10" s="9"/>
      <c r="E10" s="10"/>
      <c r="F10" s="10"/>
      <c r="G10" s="10"/>
      <c r="H10" s="13"/>
      <c r="I10" s="14"/>
      <c r="J10" s="10"/>
      <c r="K10" s="10"/>
      <c r="L10" s="10"/>
      <c r="M10" s="10"/>
      <c r="N10" s="10"/>
      <c r="O10" t="s">
        <v>3</v>
      </c>
      <c r="P10" t="s">
        <v>11</v>
      </c>
      <c r="R10">
        <v>0</v>
      </c>
      <c r="S10">
        <f>IF(G11="X",2^6,0)</f>
        <v>0</v>
      </c>
      <c r="T10">
        <v>0</v>
      </c>
      <c r="U10">
        <f>IF(E11="X",2^4,0)</f>
        <v>0</v>
      </c>
      <c r="V10">
        <v>0</v>
      </c>
      <c r="W10">
        <f>IF(D11="X",2^2,0)</f>
        <v>0</v>
      </c>
      <c r="X10">
        <v>0</v>
      </c>
      <c r="Y10">
        <f>IF(F11="X",2^0,0)</f>
        <v>0</v>
      </c>
      <c r="Z10">
        <v>0</v>
      </c>
      <c r="AA10">
        <f>IF(H11="X",2^6,0)</f>
        <v>0</v>
      </c>
      <c r="AB10">
        <v>0</v>
      </c>
      <c r="AC10">
        <f>IF(J11="X",2^4,0)</f>
        <v>0</v>
      </c>
      <c r="AD10">
        <v>0</v>
      </c>
      <c r="AE10">
        <f>IF(L11="X",2^2,0)</f>
        <v>0</v>
      </c>
      <c r="AF10">
        <v>0</v>
      </c>
      <c r="AG10">
        <f>IF(N11="X",2^0,0)</f>
        <v>0</v>
      </c>
      <c r="AH10">
        <f>IF(M11="X",2^7, 0)</f>
        <v>0</v>
      </c>
      <c r="AI10">
        <f>IF(K11="X", 2^6, 0)</f>
        <v>0</v>
      </c>
      <c r="AJ10">
        <f>IF(I11="X", 2^5, 0)</f>
        <v>0</v>
      </c>
      <c r="AK10">
        <f>IF(C11="X", 2^4, 0)</f>
        <v>0</v>
      </c>
      <c r="AL10">
        <f>IF(C10="X", 2^3, 0)</f>
        <v>0</v>
      </c>
      <c r="AM10">
        <f>IF(D10="X", 2^2, 0)</f>
        <v>0</v>
      </c>
      <c r="AN10">
        <f>IF(E10="X", 2^1, 0)</f>
        <v>0</v>
      </c>
      <c r="AO10">
        <f>IF(F10="X", 2^0, 0)</f>
        <v>0</v>
      </c>
      <c r="AP10">
        <f>IF(G10="X", 2^7, 0)</f>
        <v>0</v>
      </c>
      <c r="AQ10">
        <f>IF(H10="X", 2^6, 0)</f>
        <v>0</v>
      </c>
      <c r="AR10">
        <f>IF(I10="X", 2^5, 0)</f>
        <v>0</v>
      </c>
      <c r="AS10">
        <f>IF(J10="X", 2^4, 0)</f>
        <v>0</v>
      </c>
      <c r="AT10">
        <f>IF(K10="X", 2^3, 0)</f>
        <v>0</v>
      </c>
      <c r="AU10">
        <f>IF(L10="X", 2^2, 0)</f>
        <v>0</v>
      </c>
      <c r="AV10">
        <f>IF(M10="X", 2^1, 0)</f>
        <v>0</v>
      </c>
      <c r="AW10">
        <f>IF(N10="X", 2^0, 0)</f>
        <v>0</v>
      </c>
      <c r="AY10">
        <f>SUM(AP10:AW10)</f>
        <v>0</v>
      </c>
      <c r="AZ10">
        <f>SUM(AH10:AO10)</f>
        <v>0</v>
      </c>
      <c r="BA10">
        <f>SUM(Z10:AG10)</f>
        <v>0</v>
      </c>
      <c r="BB10">
        <f>SUM(R10:Y10)</f>
        <v>0</v>
      </c>
      <c r="BD10" t="str">
        <f>CONCATENATE("{", AY15, ",", AZ15, ",", BA15, ",", BB15, "},")</f>
        <v>{0x00,0x00,0x00,0x00},</v>
      </c>
    </row>
    <row r="11" spans="1:57" ht="15.75" thickBot="1" x14ac:dyDescent="0.3">
      <c r="B11" s="5"/>
      <c r="C11" s="15"/>
      <c r="D11" s="15"/>
      <c r="E11" s="16"/>
      <c r="F11" s="16"/>
      <c r="G11" s="16"/>
      <c r="H11" s="17"/>
      <c r="I11" s="18"/>
      <c r="J11" s="16"/>
      <c r="K11" s="16"/>
      <c r="L11" s="16"/>
      <c r="M11" s="16"/>
      <c r="N11" s="16"/>
      <c r="AY11" t="str">
        <f>"0x"&amp;TEXT(DEC2HEX(AY10),"00")</f>
        <v>0x00</v>
      </c>
      <c r="AZ11" t="str">
        <f>"0x"&amp;TEXT(DEC2HEX(AZ10),"00")</f>
        <v>0x00</v>
      </c>
      <c r="BA11" t="str">
        <f>"0x"&amp;TEXT(DEC2HEX(BA10),"00")</f>
        <v>0x00</v>
      </c>
      <c r="BB11" t="str">
        <f>"0x"&amp;TEXT(DEC2HEX(BB10),"00")</f>
        <v>0x00</v>
      </c>
      <c r="BD11" t="str">
        <f>CONCATENATE("{", AY17, ",", AZ17, ",", BA17, ",", BB17, "},")</f>
        <v>{0x00,0x00,0x00,0x00},</v>
      </c>
    </row>
    <row r="12" spans="1:57" x14ac:dyDescent="0.25">
      <c r="A12" s="1" t="s">
        <v>12</v>
      </c>
      <c r="B12" s="6" t="s">
        <v>4</v>
      </c>
      <c r="C12" s="19"/>
      <c r="D12" s="19"/>
      <c r="E12" s="19"/>
      <c r="F12" s="19"/>
      <c r="G12" s="19"/>
      <c r="H12" s="20"/>
      <c r="I12" s="21"/>
      <c r="J12" s="19"/>
      <c r="K12" s="19"/>
      <c r="L12" s="19"/>
      <c r="M12" s="19"/>
      <c r="N12" s="19"/>
      <c r="O12" s="1" t="s">
        <v>4</v>
      </c>
      <c r="P12" s="1" t="s">
        <v>12</v>
      </c>
      <c r="R12">
        <v>0</v>
      </c>
      <c r="S12">
        <f>IF(G13="X",2^6,0)</f>
        <v>0</v>
      </c>
      <c r="T12">
        <v>0</v>
      </c>
      <c r="U12">
        <f>IF(E13="X",2^4,0)</f>
        <v>0</v>
      </c>
      <c r="V12">
        <v>0</v>
      </c>
      <c r="W12">
        <f>IF(D13="X",2^2,0)</f>
        <v>0</v>
      </c>
      <c r="X12">
        <v>0</v>
      </c>
      <c r="Y12">
        <f>IF(F13="X",2^0,0)</f>
        <v>0</v>
      </c>
      <c r="Z12">
        <v>0</v>
      </c>
      <c r="AA12">
        <f>IF(H13="X",2^6,0)</f>
        <v>0</v>
      </c>
      <c r="AB12">
        <v>0</v>
      </c>
      <c r="AC12">
        <f>IF(J13="X",2^4,0)</f>
        <v>0</v>
      </c>
      <c r="AD12">
        <v>0</v>
      </c>
      <c r="AE12">
        <f>IF(L13="X",2^2,0)</f>
        <v>0</v>
      </c>
      <c r="AF12">
        <v>0</v>
      </c>
      <c r="AG12">
        <f>IF(N13="X",2^0,0)</f>
        <v>0</v>
      </c>
      <c r="AH12">
        <f>IF(M13="X",2^7, 0)</f>
        <v>0</v>
      </c>
      <c r="AI12">
        <f>IF(K13="X", 2^6, 0)</f>
        <v>0</v>
      </c>
      <c r="AJ12">
        <f>IF(I13="X", 2^5, 0)</f>
        <v>0</v>
      </c>
      <c r="AK12">
        <f>IF(C13="X", 2^4, 0)</f>
        <v>0</v>
      </c>
      <c r="AL12">
        <f>IF(C12="X", 2^3, 0)</f>
        <v>0</v>
      </c>
      <c r="AM12">
        <f>IF(D12="X", 2^2, 0)</f>
        <v>0</v>
      </c>
      <c r="AN12">
        <f>IF(E12="X", 2^1, 0)</f>
        <v>0</v>
      </c>
      <c r="AO12">
        <f>IF(F12="X", 2^0, 0)</f>
        <v>0</v>
      </c>
      <c r="AP12">
        <f>IF(G12="X", 2^7, 0)</f>
        <v>0</v>
      </c>
      <c r="AQ12">
        <f>IF(H12="X", 2^6, 0)</f>
        <v>0</v>
      </c>
      <c r="AR12">
        <f>IF(I12="X", 2^5, 0)</f>
        <v>0</v>
      </c>
      <c r="AS12">
        <f>IF(J12="X", 2^4, 0)</f>
        <v>0</v>
      </c>
      <c r="AT12">
        <f>IF(K12="X", 2^3, 0)</f>
        <v>0</v>
      </c>
      <c r="AU12">
        <f>IF(L12="X", 2^2, 0)</f>
        <v>0</v>
      </c>
      <c r="AV12">
        <f>IF(M12="X", 2^1, 0)</f>
        <v>0</v>
      </c>
      <c r="AW12">
        <f>IF(N12="X", 2^0, 0)</f>
        <v>0</v>
      </c>
      <c r="AY12">
        <f>SUM(AP12:AW12)</f>
        <v>0</v>
      </c>
      <c r="AZ12">
        <f>SUM(AH12:AO12)</f>
        <v>0</v>
      </c>
      <c r="BA12">
        <f>SUM(Z12:AG12)</f>
        <v>0</v>
      </c>
      <c r="BB12">
        <f>SUM(R12:Y12)</f>
        <v>0</v>
      </c>
      <c r="BD12" t="str">
        <f>CONCATENATE("{", AY19, ",", AZ19, ",", BA19, ",", BB19, "}")</f>
        <v>{0x00,0x00,0x00,0x00}</v>
      </c>
    </row>
    <row r="13" spans="1:57" x14ac:dyDescent="0.25">
      <c r="A13" s="1"/>
      <c r="B13" s="6"/>
      <c r="C13" s="8"/>
      <c r="D13" s="8"/>
      <c r="E13" s="8"/>
      <c r="F13" s="8"/>
      <c r="G13" s="8"/>
      <c r="H13" s="11"/>
      <c r="I13" s="12"/>
      <c r="J13" s="8"/>
      <c r="K13" s="8"/>
      <c r="L13" s="8"/>
      <c r="M13" s="8"/>
      <c r="N13" s="8"/>
      <c r="O13" s="1"/>
      <c r="P13" s="1"/>
      <c r="AY13" t="str">
        <f>"0x"&amp;TEXT(DEC2HEX(AY12),"00")</f>
        <v>0x00</v>
      </c>
      <c r="AZ13" t="str">
        <f>"0x"&amp;TEXT(DEC2HEX(AZ12),"00")</f>
        <v>0x00</v>
      </c>
      <c r="BA13" t="str">
        <f>"0x"&amp;TEXT(DEC2HEX(BA12),"00")</f>
        <v>0x00</v>
      </c>
      <c r="BB13" t="str">
        <f>"0x"&amp;TEXT(DEC2HEX(BB12),"00")</f>
        <v>0x00</v>
      </c>
      <c r="BD13" t="s">
        <v>46</v>
      </c>
    </row>
    <row r="14" spans="1:57" x14ac:dyDescent="0.25">
      <c r="A14" t="s">
        <v>13</v>
      </c>
      <c r="B14" s="5" t="s">
        <v>5</v>
      </c>
      <c r="C14" s="9"/>
      <c r="D14" s="9"/>
      <c r="E14" s="10"/>
      <c r="F14" s="10"/>
      <c r="G14" s="10"/>
      <c r="H14" s="13"/>
      <c r="I14" s="14"/>
      <c r="J14" s="10"/>
      <c r="K14" s="10"/>
      <c r="L14" s="10"/>
      <c r="M14" s="10"/>
      <c r="N14" s="10"/>
      <c r="O14" t="s">
        <v>5</v>
      </c>
      <c r="P14" t="s">
        <v>13</v>
      </c>
      <c r="R14">
        <v>0</v>
      </c>
      <c r="S14">
        <f>IF(G15="X",2^6,0)</f>
        <v>0</v>
      </c>
      <c r="T14">
        <v>0</v>
      </c>
      <c r="U14">
        <f>IF(E15="X",2^4,0)</f>
        <v>0</v>
      </c>
      <c r="V14">
        <v>0</v>
      </c>
      <c r="W14">
        <f>IF(D15="X",2^2,0)</f>
        <v>0</v>
      </c>
      <c r="X14">
        <v>0</v>
      </c>
      <c r="Y14">
        <f>IF(F15="X",2^0,0)</f>
        <v>0</v>
      </c>
      <c r="Z14">
        <v>0</v>
      </c>
      <c r="AA14">
        <f>IF(H15="X",2^6,0)</f>
        <v>0</v>
      </c>
      <c r="AB14">
        <v>0</v>
      </c>
      <c r="AC14">
        <f>IF(J15="X",2^4,0)</f>
        <v>0</v>
      </c>
      <c r="AD14">
        <v>0</v>
      </c>
      <c r="AE14">
        <f>IF(L15="X",2^2,0)</f>
        <v>0</v>
      </c>
      <c r="AF14">
        <v>0</v>
      </c>
      <c r="AG14">
        <f>IF(N15="X",2^0,0)</f>
        <v>0</v>
      </c>
      <c r="AH14">
        <f>IF(M15="X",2^7, 0)</f>
        <v>0</v>
      </c>
      <c r="AI14">
        <f>IF(K15="X", 2^6, 0)</f>
        <v>0</v>
      </c>
      <c r="AJ14">
        <f>IF(I15="X", 2^5, 0)</f>
        <v>0</v>
      </c>
      <c r="AK14">
        <f>IF(C15="X", 2^4, 0)</f>
        <v>0</v>
      </c>
      <c r="AL14">
        <f>IF(C14="X", 2^3, 0)</f>
        <v>0</v>
      </c>
      <c r="AM14">
        <f>IF(D14="X", 2^2, 0)</f>
        <v>0</v>
      </c>
      <c r="AN14">
        <f>IF(E14="X", 2^1, 0)</f>
        <v>0</v>
      </c>
      <c r="AO14">
        <f>IF(F14="X", 2^0, 0)</f>
        <v>0</v>
      </c>
      <c r="AP14">
        <f>IF(G14="X", 2^7, 0)</f>
        <v>0</v>
      </c>
      <c r="AQ14">
        <f>IF(H14="X", 2^6, 0)</f>
        <v>0</v>
      </c>
      <c r="AR14">
        <f>IF(I14="X", 2^5, 0)</f>
        <v>0</v>
      </c>
      <c r="AS14">
        <f>IF(J14="X", 2^4, 0)</f>
        <v>0</v>
      </c>
      <c r="AT14">
        <f>IF(K14="X", 2^3, 0)</f>
        <v>0</v>
      </c>
      <c r="AU14">
        <f>IF(L14="X", 2^2, 0)</f>
        <v>0</v>
      </c>
      <c r="AV14">
        <f>IF(M14="X", 2^1, 0)</f>
        <v>0</v>
      </c>
      <c r="AW14">
        <f>IF(N14="X", 2^0, 0)</f>
        <v>0</v>
      </c>
      <c r="AY14">
        <f>SUM(AP14:AW14)</f>
        <v>0</v>
      </c>
      <c r="AZ14">
        <f>SUM(AH14:AO14)</f>
        <v>0</v>
      </c>
      <c r="BA14">
        <f>SUM(Z14:AG14)</f>
        <v>0</v>
      </c>
      <c r="BB14">
        <f>SUM(R14:Y14)</f>
        <v>0</v>
      </c>
    </row>
    <row r="15" spans="1:57" x14ac:dyDescent="0.25">
      <c r="B15" s="5"/>
      <c r="C15" s="9"/>
      <c r="D15" s="9"/>
      <c r="E15" s="10"/>
      <c r="F15" s="10"/>
      <c r="G15" s="10"/>
      <c r="H15" s="13"/>
      <c r="I15" s="14"/>
      <c r="J15" s="10"/>
      <c r="K15" s="10"/>
      <c r="L15" s="10"/>
      <c r="M15" s="10"/>
      <c r="N15" s="10"/>
      <c r="AY15" t="str">
        <f>"0x"&amp;TEXT(DEC2HEX(AY14),"00")</f>
        <v>0x00</v>
      </c>
      <c r="AZ15" t="str">
        <f>"0x"&amp;TEXT(DEC2HEX(AZ14),"00")</f>
        <v>0x00</v>
      </c>
      <c r="BA15" t="str">
        <f>"0x"&amp;TEXT(DEC2HEX(BA14),"00")</f>
        <v>0x00</v>
      </c>
      <c r="BB15" t="str">
        <f>"0x"&amp;TEXT(DEC2HEX(BB14),"00")</f>
        <v>0x00</v>
      </c>
    </row>
    <row r="16" spans="1:57" x14ac:dyDescent="0.25">
      <c r="A16" s="1" t="s">
        <v>14</v>
      </c>
      <c r="B16" s="6" t="s">
        <v>6</v>
      </c>
      <c r="C16" s="8"/>
      <c r="D16" s="8"/>
      <c r="E16" s="8"/>
      <c r="F16" s="8"/>
      <c r="G16" s="8"/>
      <c r="H16" s="11"/>
      <c r="I16" s="12"/>
      <c r="J16" s="8"/>
      <c r="K16" s="8"/>
      <c r="L16" s="8"/>
      <c r="M16" s="8"/>
      <c r="N16" s="8"/>
      <c r="O16" s="1" t="s">
        <v>6</v>
      </c>
      <c r="P16" s="1" t="s">
        <v>14</v>
      </c>
      <c r="R16">
        <v>0</v>
      </c>
      <c r="S16">
        <f>IF(G17="X",2^6,0)</f>
        <v>0</v>
      </c>
      <c r="T16">
        <v>0</v>
      </c>
      <c r="U16">
        <f>IF(E17="X",2^4,0)</f>
        <v>0</v>
      </c>
      <c r="V16">
        <v>0</v>
      </c>
      <c r="W16">
        <f>IF(D17="X",2^2,0)</f>
        <v>0</v>
      </c>
      <c r="X16">
        <v>0</v>
      </c>
      <c r="Y16">
        <f>IF(F17="X",2^0,0)</f>
        <v>0</v>
      </c>
      <c r="Z16">
        <v>0</v>
      </c>
      <c r="AA16">
        <f>IF(H17="X",2^6,0)</f>
        <v>0</v>
      </c>
      <c r="AB16">
        <v>0</v>
      </c>
      <c r="AC16">
        <f>IF(J17="X",2^4,0)</f>
        <v>0</v>
      </c>
      <c r="AD16">
        <v>0</v>
      </c>
      <c r="AE16">
        <f>IF(L17="X",2^2,0)</f>
        <v>0</v>
      </c>
      <c r="AF16">
        <v>0</v>
      </c>
      <c r="AG16">
        <f>IF(N17="X",2^0,0)</f>
        <v>0</v>
      </c>
      <c r="AH16">
        <f>IF(M17="X",2^7, 0)</f>
        <v>0</v>
      </c>
      <c r="AI16">
        <f>IF(K17="X", 2^6, 0)</f>
        <v>0</v>
      </c>
      <c r="AJ16">
        <f>IF(I17="X", 2^5, 0)</f>
        <v>0</v>
      </c>
      <c r="AK16">
        <f>IF(C17="X", 2^4, 0)</f>
        <v>0</v>
      </c>
      <c r="AL16">
        <f>IF(C16="X", 2^3, 0)</f>
        <v>0</v>
      </c>
      <c r="AM16">
        <f>IF(D16="X", 2^2, 0)</f>
        <v>0</v>
      </c>
      <c r="AN16">
        <f>IF(E16="X", 2^1, 0)</f>
        <v>0</v>
      </c>
      <c r="AO16">
        <f>IF(F16="X", 2^0, 0)</f>
        <v>0</v>
      </c>
      <c r="AP16">
        <f>IF(G16="X", 2^7, 0)</f>
        <v>0</v>
      </c>
      <c r="AQ16">
        <f>IF(H16="X", 2^6, 0)</f>
        <v>0</v>
      </c>
      <c r="AR16">
        <f>IF(I16="X", 2^5, 0)</f>
        <v>0</v>
      </c>
      <c r="AS16">
        <f>IF(J16="X", 2^4, 0)</f>
        <v>0</v>
      </c>
      <c r="AT16">
        <f>IF(K16="X", 2^3, 0)</f>
        <v>0</v>
      </c>
      <c r="AU16">
        <f>IF(L16="X", 2^2, 0)</f>
        <v>0</v>
      </c>
      <c r="AV16">
        <f>IF(M16="X", 2^1, 0)</f>
        <v>0</v>
      </c>
      <c r="AW16">
        <f>IF(N16="X", 2^0, 0)</f>
        <v>0</v>
      </c>
      <c r="AY16">
        <f>SUM(AP16:AW16)</f>
        <v>0</v>
      </c>
      <c r="AZ16">
        <f>SUM(AH16:AO16)</f>
        <v>0</v>
      </c>
      <c r="BA16">
        <f>SUM(Z16:AG16)</f>
        <v>0</v>
      </c>
      <c r="BB16">
        <f>SUM(R16:Y16)</f>
        <v>0</v>
      </c>
    </row>
    <row r="17" spans="1:54" x14ac:dyDescent="0.25">
      <c r="A17" s="1"/>
      <c r="B17" s="6"/>
      <c r="C17" s="8"/>
      <c r="D17" s="8"/>
      <c r="E17" s="8"/>
      <c r="F17" s="8"/>
      <c r="G17" s="8"/>
      <c r="H17" s="11"/>
      <c r="I17" s="12"/>
      <c r="J17" s="8"/>
      <c r="K17" s="8"/>
      <c r="L17" s="8"/>
      <c r="M17" s="8"/>
      <c r="N17" s="8"/>
      <c r="O17" s="1"/>
      <c r="P17" s="1"/>
      <c r="AY17" t="str">
        <f>"0x"&amp;TEXT(DEC2HEX(AY16),"00")</f>
        <v>0x00</v>
      </c>
      <c r="AZ17" t="str">
        <f>"0x"&amp;TEXT(DEC2HEX(AZ16),"00")</f>
        <v>0x00</v>
      </c>
      <c r="BA17" t="str">
        <f>"0x"&amp;TEXT(DEC2HEX(BA16),"00")</f>
        <v>0x00</v>
      </c>
      <c r="BB17" t="str">
        <f>"0x"&amp;TEXT(DEC2HEX(BB16),"00")</f>
        <v>0x00</v>
      </c>
    </row>
    <row r="18" spans="1:54" x14ac:dyDescent="0.25">
      <c r="A18" t="s">
        <v>15</v>
      </c>
      <c r="B18" s="5" t="s">
        <v>7</v>
      </c>
      <c r="C18" s="9"/>
      <c r="D18" s="9"/>
      <c r="E18" s="10"/>
      <c r="F18" s="10"/>
      <c r="G18" s="10"/>
      <c r="H18" s="13"/>
      <c r="I18" s="14"/>
      <c r="J18" s="10"/>
      <c r="K18" s="10"/>
      <c r="L18" s="10"/>
      <c r="M18" s="10"/>
      <c r="N18" s="10"/>
      <c r="O18" t="s">
        <v>7</v>
      </c>
      <c r="P18" t="s">
        <v>15</v>
      </c>
      <c r="R18">
        <v>0</v>
      </c>
      <c r="S18">
        <f>IF(G19="X",2^6,0)</f>
        <v>0</v>
      </c>
      <c r="T18">
        <v>0</v>
      </c>
      <c r="U18">
        <f>IF(E19="X",2^4,0)</f>
        <v>0</v>
      </c>
      <c r="V18">
        <v>0</v>
      </c>
      <c r="W18">
        <f>IF(D19="X",2^2,0)</f>
        <v>0</v>
      </c>
      <c r="X18">
        <v>0</v>
      </c>
      <c r="Y18">
        <f>IF(F19="X",2^0,0)</f>
        <v>0</v>
      </c>
      <c r="Z18">
        <v>0</v>
      </c>
      <c r="AA18">
        <f>IF(H19="X",2^6,0)</f>
        <v>0</v>
      </c>
      <c r="AB18">
        <v>0</v>
      </c>
      <c r="AC18">
        <f>IF(J19="X",2^4,0)</f>
        <v>0</v>
      </c>
      <c r="AD18">
        <v>0</v>
      </c>
      <c r="AE18">
        <f>IF(L19="X",2^2,0)</f>
        <v>0</v>
      </c>
      <c r="AF18">
        <v>0</v>
      </c>
      <c r="AG18">
        <f>IF(N19="X",2^0,0)</f>
        <v>0</v>
      </c>
      <c r="AH18">
        <f>IF(M19="X",2^7, 0)</f>
        <v>0</v>
      </c>
      <c r="AI18">
        <f>IF(K19="X", 2^6, 0)</f>
        <v>0</v>
      </c>
      <c r="AJ18">
        <f>IF(I19="X", 2^5, 0)</f>
        <v>0</v>
      </c>
      <c r="AK18">
        <f>IF(C19="X", 2^4, 0)</f>
        <v>0</v>
      </c>
      <c r="AL18">
        <f>IF(C18="X", 2^3, 0)</f>
        <v>0</v>
      </c>
      <c r="AM18">
        <f>IF(D18="X", 2^2, 0)</f>
        <v>0</v>
      </c>
      <c r="AN18">
        <f>IF(E18="X", 2^1, 0)</f>
        <v>0</v>
      </c>
      <c r="AO18">
        <f>IF(F18="X", 2^0, 0)</f>
        <v>0</v>
      </c>
      <c r="AP18">
        <f>IF(G18="X", 2^7, 0)</f>
        <v>0</v>
      </c>
      <c r="AQ18">
        <f>IF(H18="X", 2^6, 0)</f>
        <v>0</v>
      </c>
      <c r="AR18">
        <f>IF(I18="X", 2^5, 0)</f>
        <v>0</v>
      </c>
      <c r="AS18">
        <f>IF(J18="X", 2^4, 0)</f>
        <v>0</v>
      </c>
      <c r="AT18">
        <f>IF(K18="X", 2^3, 0)</f>
        <v>0</v>
      </c>
      <c r="AU18">
        <f>IF(L18="X", 2^2, 0)</f>
        <v>0</v>
      </c>
      <c r="AV18">
        <f>IF(M18="X", 2^1, 0)</f>
        <v>0</v>
      </c>
      <c r="AW18">
        <f>IF(N18="X", 2^0, 0)</f>
        <v>0</v>
      </c>
      <c r="AY18">
        <f>SUM(AP18:AW18)</f>
        <v>0</v>
      </c>
      <c r="AZ18">
        <f>SUM(AH18:AO18)</f>
        <v>0</v>
      </c>
      <c r="BA18">
        <f>SUM(Z18:AG18)</f>
        <v>0</v>
      </c>
      <c r="BB18">
        <f>SUM(R18:Y18)</f>
        <v>0</v>
      </c>
    </row>
    <row r="19" spans="1:54" x14ac:dyDescent="0.25">
      <c r="B19" s="5"/>
      <c r="C19" s="9"/>
      <c r="D19" s="9"/>
      <c r="E19" s="10"/>
      <c r="F19" s="10"/>
      <c r="G19" s="10"/>
      <c r="H19" s="13"/>
      <c r="I19" s="14"/>
      <c r="J19" s="10"/>
      <c r="K19" s="10"/>
      <c r="L19" s="10"/>
      <c r="M19" s="10"/>
      <c r="N19" s="10"/>
      <c r="AY19" t="str">
        <f>"0x"&amp;TEXT(DEC2HEX(AY18),"00")</f>
        <v>0x00</v>
      </c>
      <c r="AZ19" t="str">
        <f>"0x"&amp;TEXT(DEC2HEX(AZ18),"00")</f>
        <v>0x00</v>
      </c>
      <c r="BA19" t="str">
        <f>"0x"&amp;TEXT(DEC2HEX(BA18),"00")</f>
        <v>0x00</v>
      </c>
      <c r="BB19" t="str">
        <f>"0x"&amp;TEXT(DEC2HEX(BB18),"00")</f>
        <v>0x00</v>
      </c>
    </row>
    <row r="20" spans="1:54" x14ac:dyDescent="0.25">
      <c r="B20" s="5"/>
      <c r="C20" s="2">
        <v>12</v>
      </c>
      <c r="D20" s="2">
        <v>11</v>
      </c>
      <c r="E20" s="2">
        <v>10</v>
      </c>
      <c r="F20" s="2">
        <v>9</v>
      </c>
      <c r="G20" s="2">
        <v>8</v>
      </c>
      <c r="H20" s="2">
        <v>7</v>
      </c>
      <c r="I20" s="2">
        <v>6</v>
      </c>
      <c r="J20" s="2">
        <v>5</v>
      </c>
      <c r="K20" s="3">
        <v>4</v>
      </c>
      <c r="L20" s="2">
        <v>3</v>
      </c>
      <c r="M20" s="2">
        <v>2</v>
      </c>
      <c r="N20" s="2">
        <v>1</v>
      </c>
    </row>
    <row r="21" spans="1:54" x14ac:dyDescent="0.25">
      <c r="B21" s="5"/>
    </row>
    <row r="22" spans="1:54" x14ac:dyDescent="0.25">
      <c r="B22" s="5"/>
    </row>
    <row r="23" spans="1:54" x14ac:dyDescent="0.25">
      <c r="B23" s="5"/>
    </row>
    <row r="24" spans="1:54" x14ac:dyDescent="0.25">
      <c r="B24" s="5"/>
    </row>
    <row r="25" spans="1:54" x14ac:dyDescent="0.25">
      <c r="B25" s="5"/>
      <c r="D25" s="4"/>
      <c r="E25" s="4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copies">
                <anchor moveWithCells="1">
                  <from>
                    <xdr:col>0</xdr:col>
                    <xdr:colOff>590550</xdr:colOff>
                    <xdr:row>22</xdr:row>
                    <xdr:rowOff>152400</xdr:rowOff>
                  </from>
                  <to>
                    <xdr:col>1</xdr:col>
                    <xdr:colOff>523875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matrix">
                <anchor moveWithCells="1" siz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552450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frame">
                <anchor moveWithCells="1" sizeWithCells="1">
                  <from>
                    <xdr:col>3</xdr:col>
                    <xdr:colOff>95250</xdr:colOff>
                    <xdr:row>22</xdr:row>
                    <xdr:rowOff>171450</xdr:rowOff>
                  </from>
                  <to>
                    <xdr:col>10</xdr:col>
                    <xdr:colOff>85725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py_code">
                <anchor moveWithCells="1" sizeWithCells="1">
                  <from>
                    <xdr:col>55</xdr:col>
                    <xdr:colOff>142875</xdr:colOff>
                    <xdr:row>14</xdr:row>
                    <xdr:rowOff>9525</xdr:rowOff>
                  </from>
                  <to>
                    <xdr:col>55</xdr:col>
                    <xdr:colOff>1447800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_new">
                <anchor moveWithCells="1" sizeWithCells="1">
                  <from>
                    <xdr:col>3</xdr:col>
                    <xdr:colOff>123825</xdr:colOff>
                    <xdr:row>20</xdr:row>
                    <xdr:rowOff>123825</xdr:rowOff>
                  </from>
                  <to>
                    <xdr:col>10</xdr:col>
                    <xdr:colOff>142875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B5" sqref="B5"/>
    </sheetView>
  </sheetViews>
  <sheetFormatPr defaultRowHeight="15" x14ac:dyDescent="0.25"/>
  <cols>
    <col min="1" max="1" width="27.42578125" customWidth="1"/>
    <col min="2" max="2" width="14.42578125" bestFit="1" customWidth="1"/>
    <col min="4" max="4" width="12.42578125" bestFit="1" customWidth="1"/>
    <col min="7" max="7" width="79.5703125" customWidth="1"/>
  </cols>
  <sheetData>
    <row r="1" spans="1:7" x14ac:dyDescent="0.25">
      <c r="A1" t="s">
        <v>52</v>
      </c>
      <c r="B1">
        <v>0</v>
      </c>
      <c r="G1" t="s">
        <v>49</v>
      </c>
    </row>
    <row r="2" spans="1:7" x14ac:dyDescent="0.25">
      <c r="A2" t="s">
        <v>53</v>
      </c>
      <c r="G2" t="str">
        <f>CONCATENATE("// Animation for Arduino - ", IF(B2&lt;&gt;"", B2, "no comment"), " //")</f>
        <v>// Animation for Arduino - no comment //</v>
      </c>
    </row>
    <row r="3" spans="1:7" x14ac:dyDescent="0.25">
      <c r="A3" t="s">
        <v>55</v>
      </c>
      <c r="B3">
        <v>8</v>
      </c>
      <c r="G3" t="str">
        <f>CONCATENATE("byte ledMatrixFrames[", B1, "][", B3, "][", B4, "] = {")</f>
        <v>byte ledMatrixFrames[0][8][4] = {</v>
      </c>
    </row>
    <row r="4" spans="1:7" x14ac:dyDescent="0.25">
      <c r="A4" t="s">
        <v>56</v>
      </c>
      <c r="B4">
        <v>4</v>
      </c>
      <c r="G4" t="str">
        <f>CONCATENATE("const int numFrames = ", B1, "; // frames of complete matrix for animation")</f>
        <v>const int numFrames = 0; // frames of complete matrix for animation</v>
      </c>
    </row>
    <row r="10" spans="1:7" x14ac:dyDescent="0.25">
      <c r="A10" t="s">
        <v>50</v>
      </c>
      <c r="B10" t="s">
        <v>51</v>
      </c>
      <c r="C10" t="s">
        <v>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ather_Frames">
                <anchor moveWithCells="1" sizeWithCells="1">
                  <from>
                    <xdr:col>0</xdr:col>
                    <xdr:colOff>171450</xdr:colOff>
                    <xdr:row>7</xdr:row>
                    <xdr:rowOff>0</xdr:rowOff>
                  </from>
                  <to>
                    <xdr:col>1</xdr:col>
                    <xdr:colOff>409575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Frame_template</vt:lpstr>
      <vt:lpstr>Frame_list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</dc:creator>
  <cp:lastModifiedBy>dw</cp:lastModifiedBy>
  <dcterms:created xsi:type="dcterms:W3CDTF">2015-11-29T05:12:41Z</dcterms:created>
  <dcterms:modified xsi:type="dcterms:W3CDTF">2015-12-02T21:59:37Z</dcterms:modified>
</cp:coreProperties>
</file>